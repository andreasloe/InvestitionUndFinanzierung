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7755"/>
  </bookViews>
  <sheets>
    <sheet name="Лист1" sheetId="1" r:id="rId1"/>
    <sheet name="Лист2" sheetId="2" r:id="rId2"/>
    <sheet name="Лист3" sheetId="3" r:id="rId3"/>
  </sheets>
  <calcPr calcId="125725"/>
</workbook>
</file>

<file path=xl/calcChain.xml><?xml version="1.0" encoding="utf-8"?>
<calcChain xmlns="http://schemas.openxmlformats.org/spreadsheetml/2006/main">
  <c r="B7" i="1"/>
  <c r="B5"/>
  <c r="B4"/>
  <c r="C2" l="1"/>
  <c r="C12"/>
  <c r="C3"/>
  <c r="C4" l="1"/>
  <c r="D3"/>
  <c r="D2" l="1"/>
  <c r="D4" l="1"/>
  <c r="C5" l="1"/>
  <c r="D5" l="1"/>
  <c r="B6" l="1"/>
  <c r="C6" l="1"/>
  <c r="D6" s="1"/>
  <c r="C7" l="1"/>
  <c r="D7" s="1"/>
  <c r="B8" l="1"/>
  <c r="C8" l="1"/>
</calcChain>
</file>

<file path=xl/comments1.xml><?xml version="1.0" encoding="utf-8"?>
<comments xmlns="http://schemas.openxmlformats.org/spreadsheetml/2006/main">
  <authors>
    <author>Autor</author>
  </authors>
  <commentList>
    <comment ref="A11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Excel 2013: 
Daten / Was-wäre-wenn-Analyse / Zielwertsuche / Zielzelle: C12, Zielwert:0, veränderbare Zelle: B12</t>
        </r>
      </text>
    </comment>
  </commentList>
</comments>
</file>

<file path=xl/sharedStrings.xml><?xml version="1.0" encoding="utf-8"?>
<sst xmlns="http://schemas.openxmlformats.org/spreadsheetml/2006/main" count="16" uniqueCount="14">
  <si>
    <t>Rn</t>
  </si>
  <si>
    <t>n</t>
  </si>
  <si>
    <t>r</t>
  </si>
  <si>
    <t>i1</t>
  </si>
  <si>
    <t>i2</t>
  </si>
  <si>
    <t>i3</t>
  </si>
  <si>
    <t>i4</t>
  </si>
  <si>
    <t>Rentenendwertformel</t>
  </si>
  <si>
    <t>k</t>
  </si>
  <si>
    <t>f(ik)&gt;0? oder f(ik)&lt;0?</t>
  </si>
  <si>
    <r>
      <t>i</t>
    </r>
    <r>
      <rPr>
        <b/>
        <sz val="8"/>
        <color theme="0"/>
        <rFont val="Calibri"/>
        <family val="2"/>
        <scheme val="minor"/>
      </rPr>
      <t>k</t>
    </r>
  </si>
  <si>
    <r>
      <t>f(i</t>
    </r>
    <r>
      <rPr>
        <b/>
        <sz val="8"/>
        <color theme="0"/>
        <rFont val="Calibri"/>
        <family val="2"/>
        <scheme val="minor"/>
      </rPr>
      <t>k</t>
    </r>
    <r>
      <rPr>
        <b/>
        <sz val="11"/>
        <color theme="0"/>
        <rFont val="Calibri"/>
        <family val="2"/>
        <scheme val="minor"/>
      </rPr>
      <t>)</t>
    </r>
  </si>
  <si>
    <r>
      <t>i</t>
    </r>
    <r>
      <rPr>
        <b/>
        <sz val="8"/>
        <color theme="0"/>
        <rFont val="Calibri"/>
        <family val="2"/>
        <scheme val="minor"/>
      </rPr>
      <t>k</t>
    </r>
    <r>
      <rPr>
        <b/>
        <sz val="11"/>
        <color theme="0"/>
        <rFont val="Calibri"/>
        <family val="2"/>
        <scheme val="minor"/>
      </rPr>
      <t xml:space="preserve"> ersetzt:</t>
    </r>
  </si>
  <si>
    <t xml:space="preserve">Excel Zielwertsuche </t>
  </si>
</sst>
</file>

<file path=xl/styles.xml><?xml version="1.0" encoding="utf-8"?>
<styleSheet xmlns="http://schemas.openxmlformats.org/spreadsheetml/2006/main">
  <numFmts count="5">
    <numFmt numFmtId="43" formatCode="_-* #,##0.00\ _€_-;\-* #,##0.00\ _€_-;_-* &quot;-&quot;??\ _€_-;_-@_-"/>
    <numFmt numFmtId="164" formatCode="0.00000"/>
    <numFmt numFmtId="165" formatCode="0.000000%"/>
    <numFmt numFmtId="167" formatCode="0.000000000%"/>
    <numFmt numFmtId="168" formatCode="_-* #,##0.000000000000000000\ _€_-;\-* #,##0.000000000000000000\ _€_-;_-* &quot;-&quot;??\ _€_-;_-@_-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Fill="1"/>
    <xf numFmtId="0" fontId="0" fillId="0" borderId="1" xfId="0" applyBorder="1"/>
    <xf numFmtId="0" fontId="0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9" fontId="0" fillId="3" borderId="1" xfId="2" applyNumberFormat="1" applyFont="1" applyFill="1" applyBorder="1" applyAlignment="1">
      <alignment horizontal="center" vertical="center"/>
    </xf>
    <xf numFmtId="164" fontId="0" fillId="3" borderId="1" xfId="0" applyNumberFormat="1" applyFont="1" applyFill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center" vertical="center"/>
    </xf>
    <xf numFmtId="165" fontId="0" fillId="0" borderId="1" xfId="2" applyNumberFormat="1" applyFont="1" applyFill="1" applyBorder="1" applyAlignment="1">
      <alignment horizontal="center" vertical="center"/>
    </xf>
    <xf numFmtId="4" fontId="0" fillId="0" borderId="1" xfId="0" applyNumberFormat="1" applyFill="1" applyBorder="1" applyAlignment="1">
      <alignment horizontal="center" vertical="center"/>
    </xf>
    <xf numFmtId="167" fontId="0" fillId="0" borderId="1" xfId="0" applyNumberFormat="1" applyBorder="1"/>
    <xf numFmtId="168" fontId="0" fillId="0" borderId="1" xfId="1" applyNumberFormat="1" applyFont="1" applyBorder="1"/>
    <xf numFmtId="0" fontId="2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165" fontId="0" fillId="4" borderId="1" xfId="2" applyNumberFormat="1" applyFont="1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</cellXfs>
  <cellStyles count="3">
    <cellStyle name="Dezimal" xfId="1" builtinId="3"/>
    <cellStyle name="Prozent" xfId="2" builtinId="5"/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zoomScaleNormal="100" workbookViewId="0">
      <selection activeCell="B9" sqref="B9"/>
    </sheetView>
  </sheetViews>
  <sheetFormatPr baseColWidth="10" defaultColWidth="9.140625" defaultRowHeight="15"/>
  <cols>
    <col min="1" max="1" width="17.5703125" customWidth="1"/>
    <col min="2" max="2" width="31.42578125" customWidth="1"/>
    <col min="3" max="3" width="33.42578125" customWidth="1"/>
    <col min="4" max="4" width="26.28515625" customWidth="1"/>
    <col min="5" max="5" width="15.5703125" customWidth="1"/>
    <col min="7" max="7" width="14.140625" customWidth="1"/>
    <col min="8" max="8" width="13" customWidth="1"/>
  </cols>
  <sheetData>
    <row r="1" spans="1:8" ht="15.75">
      <c r="A1" s="7" t="s">
        <v>8</v>
      </c>
      <c r="B1" s="7" t="s">
        <v>10</v>
      </c>
      <c r="C1" s="7" t="s">
        <v>11</v>
      </c>
      <c r="D1" s="7" t="s">
        <v>9</v>
      </c>
      <c r="E1" s="7" t="s">
        <v>12</v>
      </c>
      <c r="F1" s="1"/>
      <c r="G1" s="17" t="s">
        <v>7</v>
      </c>
      <c r="H1" s="18"/>
    </row>
    <row r="2" spans="1:8">
      <c r="A2" s="8">
        <v>0</v>
      </c>
      <c r="B2" s="9">
        <v>0.2</v>
      </c>
      <c r="C2" s="10">
        <f>$H$4*(((1+B2)^$H$3-1)/(B2))-$H$2</f>
        <v>2154</v>
      </c>
      <c r="D2" s="8" t="str">
        <f t="shared" ref="D2:D7" si="0">IF(C2&lt;0,"&lt;0","&gt;0")</f>
        <v>&gt;0</v>
      </c>
      <c r="E2" s="8"/>
      <c r="F2" s="1"/>
      <c r="G2" s="4" t="s">
        <v>0</v>
      </c>
      <c r="H2" s="13">
        <v>16450</v>
      </c>
    </row>
    <row r="3" spans="1:8">
      <c r="A3" s="8">
        <v>1</v>
      </c>
      <c r="B3" s="9">
        <v>0.01</v>
      </c>
      <c r="C3" s="10">
        <f>$H$4*(((1+B3)^$H$3-1)/(B3))-$H$2</f>
        <v>-3697.4874750000181</v>
      </c>
      <c r="D3" s="8" t="str">
        <f t="shared" si="0"/>
        <v>&lt;0</v>
      </c>
      <c r="E3" s="8"/>
      <c r="F3" s="1"/>
      <c r="G3" s="4" t="s">
        <v>1</v>
      </c>
      <c r="H3" s="4">
        <v>5</v>
      </c>
    </row>
    <row r="4" spans="1:8">
      <c r="A4" s="3">
        <v>2</v>
      </c>
      <c r="B4" s="12">
        <f>(B3*C2-B2*C3)/(C2-C3)</f>
        <v>0.13005880953372481</v>
      </c>
      <c r="C4" s="11">
        <f>$H$4*(((1+B4)^$H$3-1)/(B4))-$H$2</f>
        <v>-247.43230789616064</v>
      </c>
      <c r="D4" s="3" t="str">
        <f>IF(C4&lt;0,"&lt;0","&gt;0")</f>
        <v>&lt;0</v>
      </c>
      <c r="E4" s="3" t="s">
        <v>3</v>
      </c>
      <c r="F4" s="1"/>
      <c r="G4" s="4" t="s">
        <v>2</v>
      </c>
      <c r="H4" s="20">
        <v>2500</v>
      </c>
    </row>
    <row r="5" spans="1:8">
      <c r="A5" s="3">
        <v>3</v>
      </c>
      <c r="B5" s="12">
        <f>(B4*C2-B2*C4)/(C2-C4)</f>
        <v>0.13726522135602456</v>
      </c>
      <c r="C5" s="11">
        <f>$H$4*(((1+B5)^$H$3-1)/(B5))-$H$2</f>
        <v>-14.109466388930741</v>
      </c>
      <c r="D5" s="3" t="str">
        <f t="shared" si="0"/>
        <v>&lt;0</v>
      </c>
      <c r="E5" s="3" t="s">
        <v>4</v>
      </c>
      <c r="F5" s="1"/>
      <c r="G5" s="1"/>
      <c r="H5" s="1"/>
    </row>
    <row r="6" spans="1:8">
      <c r="A6" s="3">
        <v>4</v>
      </c>
      <c r="B6" s="12">
        <f>(B5*C2-B2*C5)/(C2-C5)</f>
        <v>0.13767348222311468</v>
      </c>
      <c r="C6" s="11">
        <f>$H$4*(((1+B6)^$H$3-1)/(B6))-$H$2</f>
        <v>-0.79684898992491071</v>
      </c>
      <c r="D6" s="3" t="str">
        <f t="shared" si="0"/>
        <v>&lt;0</v>
      </c>
      <c r="E6" s="4" t="s">
        <v>5</v>
      </c>
      <c r="F6" s="1"/>
      <c r="G6" s="1"/>
      <c r="H6" s="1"/>
    </row>
    <row r="7" spans="1:8">
      <c r="A7" s="3">
        <v>5</v>
      </c>
      <c r="B7" s="12">
        <f>(B6*C2-B2*C6)/(C2-C6)</f>
        <v>0.1376965307173425</v>
      </c>
      <c r="C7" s="11">
        <f>$H$4*(((1+B7)^$H$3-1)/(B7))-$H$2</f>
        <v>-4.497841210468323E-2</v>
      </c>
      <c r="D7" s="3" t="str">
        <f t="shared" si="0"/>
        <v>&lt;0</v>
      </c>
      <c r="E7" s="4" t="s">
        <v>6</v>
      </c>
      <c r="F7" s="1"/>
      <c r="G7" s="1"/>
      <c r="H7" s="1"/>
    </row>
    <row r="8" spans="1:8">
      <c r="A8" s="3">
        <v>6</v>
      </c>
      <c r="B8" s="19">
        <f>(B7*C2-B2*C7)/(C2-C7)</f>
        <v>0.13769783167026831</v>
      </c>
      <c r="C8" s="11">
        <f>$H$4*(((1+B8)^$H$3-1)/(B8))-$H$2</f>
        <v>-2.5387434216099791E-3</v>
      </c>
      <c r="D8" s="3"/>
      <c r="E8" s="4"/>
      <c r="F8" s="1"/>
      <c r="G8" s="1"/>
      <c r="H8" s="1"/>
    </row>
    <row r="9" spans="1:8">
      <c r="A9" s="6"/>
      <c r="B9" s="6"/>
      <c r="C9" s="6"/>
      <c r="D9" s="6"/>
      <c r="E9" s="6"/>
    </row>
    <row r="10" spans="1:8">
      <c r="A10" s="6"/>
      <c r="B10" s="6"/>
      <c r="C10" s="6"/>
      <c r="D10" s="6"/>
      <c r="E10" s="6"/>
    </row>
    <row r="11" spans="1:8" ht="30.75" customHeight="1">
      <c r="A11" s="16" t="s">
        <v>13</v>
      </c>
      <c r="B11" s="7" t="s">
        <v>10</v>
      </c>
      <c r="C11" s="7" t="s">
        <v>11</v>
      </c>
      <c r="D11" s="5"/>
      <c r="E11" s="5"/>
    </row>
    <row r="12" spans="1:8">
      <c r="A12" s="2"/>
      <c r="B12" s="14">
        <v>0.13769790950126728</v>
      </c>
      <c r="C12" s="15">
        <f>$H$4*(((1+B12)^$H$3-1)/(B12))-$H$2</f>
        <v>2.6163615984842181E-7</v>
      </c>
    </row>
  </sheetData>
  <mergeCells count="1">
    <mergeCell ref="G1:H1"/>
  </mergeCells>
  <pageMargins left="0.7" right="0.7" top="0.75" bottom="0.75" header="0.3" footer="0.3"/>
  <pageSetup paperSize="9" orientation="portrait" horizontalDpi="4294967293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ColWidth="9.140625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ColWidth="9.14062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2016-06-08T21:07:11Z</dcterms:modified>
</cp:coreProperties>
</file>